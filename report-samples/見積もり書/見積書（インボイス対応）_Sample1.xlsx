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xcel-next-com\wp-content\uploads\blog\estimate-portrait\download\"/>
    </mc:Choice>
  </mc:AlternateContent>
  <xr:revisionPtr revIDLastSave="0" documentId="13_ncr:1_{8CE092F5-3FF1-4C2C-B64C-F94D141FB636}" xr6:coauthVersionLast="47" xr6:coauthVersionMax="47" xr10:uidLastSave="{00000000-0000-0000-0000-000000000000}"/>
  <bookViews>
    <workbookView xWindow="2760" yWindow="1305" windowWidth="21855" windowHeight="13860" xr2:uid="{00000000-000D-0000-FFFF-FFFF00000000}"/>
  </bookViews>
  <sheets>
    <sheet name="見積書（インボイス対応）" sheetId="22" r:id="rId1"/>
    <sheet name="マスター" sheetId="17" r:id="rId2"/>
    <sheet name="【おすすめ】人気Excelテンプレート" sheetId="23" r:id="rId3"/>
  </sheets>
  <definedNames>
    <definedName name="_xlnm.Print_Area" localSheetId="0">'見積書（インボイス対応）'!$A$1:$L$44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22" l="1"/>
  <c r="B34" i="22"/>
  <c r="B33" i="22"/>
  <c r="B32" i="22"/>
  <c r="B31" i="22"/>
  <c r="B30" i="22"/>
  <c r="B29" i="22"/>
  <c r="B28" i="22"/>
  <c r="B27" i="22"/>
  <c r="B26" i="22"/>
  <c r="B25" i="22"/>
  <c r="B24" i="22"/>
  <c r="B23" i="22"/>
  <c r="B22" i="22"/>
  <c r="B21" i="22"/>
  <c r="K35" i="22" l="1"/>
  <c r="K34" i="22"/>
  <c r="K33" i="22"/>
  <c r="K32" i="22"/>
  <c r="K31" i="22"/>
  <c r="K30" i="22"/>
  <c r="K29" i="22"/>
  <c r="K28" i="22"/>
  <c r="K27" i="22"/>
  <c r="K26" i="22"/>
  <c r="K25" i="22"/>
  <c r="K24" i="22"/>
  <c r="K23" i="22"/>
  <c r="K22" i="22"/>
  <c r="K21" i="22"/>
  <c r="O35" i="22" l="1"/>
  <c r="O34" i="22"/>
  <c r="O33" i="22"/>
  <c r="O32" i="22"/>
  <c r="O31" i="22"/>
  <c r="O30" i="22"/>
  <c r="O29" i="22"/>
  <c r="O28" i="22"/>
  <c r="O27" i="22"/>
  <c r="O26" i="22"/>
  <c r="O25" i="22"/>
  <c r="O24" i="22"/>
  <c r="O23" i="22"/>
  <c r="O22" i="22"/>
  <c r="O21" i="22"/>
  <c r="N35" i="22"/>
  <c r="N34" i="22"/>
  <c r="N33" i="22"/>
  <c r="N32" i="22"/>
  <c r="N31" i="22"/>
  <c r="N30" i="22"/>
  <c r="N29" i="22"/>
  <c r="N28" i="22"/>
  <c r="N27" i="22"/>
  <c r="N26" i="22"/>
  <c r="N25" i="22"/>
  <c r="N24" i="22"/>
  <c r="N23" i="22"/>
  <c r="N22" i="22"/>
  <c r="N21" i="22"/>
  <c r="P35" i="22"/>
  <c r="P34" i="22"/>
  <c r="P33" i="22"/>
  <c r="P32" i="22"/>
  <c r="P31" i="22"/>
  <c r="P30" i="22"/>
  <c r="P29" i="22"/>
  <c r="P28" i="22"/>
  <c r="P27" i="22"/>
  <c r="P26" i="22"/>
  <c r="P25" i="22"/>
  <c r="P24" i="22"/>
  <c r="P23" i="22"/>
  <c r="P22" i="22"/>
  <c r="P21" i="22"/>
  <c r="D38" i="22" l="1"/>
  <c r="E38" i="22" s="1"/>
  <c r="D39" i="22"/>
  <c r="E39" i="22" s="1"/>
  <c r="D40" i="22"/>
  <c r="E40" i="22" s="1"/>
  <c r="K36" i="22"/>
  <c r="K37" i="22" l="1"/>
  <c r="K38" i="22" s="1"/>
  <c r="D17" i="22" s="1"/>
</calcChain>
</file>

<file path=xl/sharedStrings.xml><?xml version="1.0" encoding="utf-8"?>
<sst xmlns="http://schemas.openxmlformats.org/spreadsheetml/2006/main" count="148" uniqueCount="127">
  <si>
    <t>日</t>
    <rPh sb="0" eb="1">
      <t>ヒ</t>
    </rPh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</si>
  <si>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</si>
  <si>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</si>
  <si>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単位</t>
    <rPh sb="0" eb="2">
      <t>タンイ</t>
    </rPh>
    <phoneticPr fontId="1"/>
  </si>
  <si>
    <t>個</t>
    <rPh sb="0" eb="1">
      <t>コ</t>
    </rPh>
    <phoneticPr fontId="1"/>
  </si>
  <si>
    <t>式</t>
    <rPh sb="0" eb="1">
      <t>シキ</t>
    </rPh>
    <phoneticPr fontId="1"/>
  </si>
  <si>
    <t>時間</t>
    <rPh sb="0" eb="2">
      <t>ジカン</t>
    </rPh>
    <phoneticPr fontId="1"/>
  </si>
  <si>
    <t>ヶ月</t>
    <rPh sb="1" eb="2">
      <t>ゲツ</t>
    </rPh>
    <phoneticPr fontId="1"/>
  </si>
  <si>
    <t>消費税率</t>
    <rPh sb="0" eb="3">
      <t>ショウヒゼイ</t>
    </rPh>
    <rPh sb="3" eb="4">
      <t>リツ</t>
    </rPh>
    <phoneticPr fontId="1"/>
  </si>
  <si>
    <t>非課税</t>
    <rPh sb="0" eb="3">
      <t>ヒカゼイ</t>
    </rPh>
    <phoneticPr fontId="1"/>
  </si>
  <si>
    <t>〒000-0000</t>
    <phoneticPr fontId="1"/>
  </si>
  <si>
    <t>TEL：</t>
  </si>
  <si>
    <t>E-Mail：</t>
    <phoneticPr fontId="1"/>
  </si>
  <si>
    <t>数 量</t>
    <phoneticPr fontId="1"/>
  </si>
  <si>
    <t>単 価</t>
    <phoneticPr fontId="1"/>
  </si>
  <si>
    <t>金 額</t>
    <phoneticPr fontId="1"/>
  </si>
  <si>
    <t>SMP01 サンプル商品０１</t>
  </si>
  <si>
    <t>SMP02 サンプル商品０２</t>
  </si>
  <si>
    <t>SMP03 サンプル商品０３</t>
  </si>
  <si>
    <t>SMP04 サンプル商品０４</t>
  </si>
  <si>
    <t>SMP05 サンプル商品０５</t>
  </si>
  <si>
    <t>SMP06 サンプル商品０６</t>
  </si>
  <si>
    <t>SMP07 サンプル商品０７</t>
  </si>
  <si>
    <t>SMP08 サンプル商品０８</t>
  </si>
  <si>
    <t>SMP09 サンプル商品０９</t>
  </si>
  <si>
    <t>SMP10 サンプル商品１０</t>
  </si>
  <si>
    <t>SMP11 サンプル商品１１</t>
  </si>
  <si>
    <t>SMP12 サンプル商品１２</t>
  </si>
  <si>
    <t>SMP13 サンプル商品１３</t>
  </si>
  <si>
    <t>SMP14 サンプル商品１４</t>
  </si>
  <si>
    <t>SMP15 サンプル商品１５</t>
  </si>
  <si>
    <t>非課税金額</t>
    <rPh sb="0" eb="3">
      <t>ヒカゼイ</t>
    </rPh>
    <rPh sb="3" eb="5">
      <t>キンガク</t>
    </rPh>
    <phoneticPr fontId="1"/>
  </si>
  <si>
    <t>○○○○株式会社 御中</t>
    <rPh sb="4" eb="8">
      <t>カブシキガイシャ</t>
    </rPh>
    <rPh sb="9" eb="11">
      <t>オンチュウ</t>
    </rPh>
    <phoneticPr fontId="1"/>
  </si>
  <si>
    <t>FAX：</t>
    <phoneticPr fontId="1"/>
  </si>
  <si>
    <t>000-000-0000</t>
    <phoneticPr fontId="1"/>
  </si>
  <si>
    <t>消費税8%金額</t>
    <rPh sb="0" eb="3">
      <t>ショウヒゼイ</t>
    </rPh>
    <rPh sb="5" eb="7">
      <t>キンガク</t>
    </rPh>
    <phoneticPr fontId="1"/>
  </si>
  <si>
    <t>消費税10%金額</t>
    <rPh sb="6" eb="8">
      <t>キンガク</t>
    </rPh>
    <phoneticPr fontId="1"/>
  </si>
  <si>
    <t>○○○○○○○○○○○○</t>
    <phoneticPr fontId="1"/>
  </si>
  <si>
    <t>○○県○○市○○区 ○○町○○番地
○○○○ビル ○○階</t>
    <rPh sb="2" eb="3">
      <t>ケン</t>
    </rPh>
    <rPh sb="5" eb="6">
      <t>シ</t>
    </rPh>
    <rPh sb="8" eb="9">
      <t>ク</t>
    </rPh>
    <phoneticPr fontId="1"/>
  </si>
  <si>
    <t>　　　小計</t>
    <rPh sb="3" eb="4">
      <t>ショウ</t>
    </rPh>
    <phoneticPr fontId="1"/>
  </si>
  <si>
    <t>　　　消費税</t>
    <rPh sb="3" eb="6">
      <t>ショウヒゼイ</t>
    </rPh>
    <phoneticPr fontId="1"/>
  </si>
  <si>
    <t>　　　合計金額</t>
    <rPh sb="3" eb="5">
      <t>ゴウケイ</t>
    </rPh>
    <rPh sb="5" eb="7">
      <t>キンガク</t>
    </rPh>
    <phoneticPr fontId="1"/>
  </si>
  <si>
    <t>単 位</t>
    <rPh sb="0" eb="1">
      <t>タン</t>
    </rPh>
    <rPh sb="2" eb="3">
      <t>クライ</t>
    </rPh>
    <phoneticPr fontId="1"/>
  </si>
  <si>
    <t>税 率</t>
    <rPh sb="0" eb="1">
      <t>ゼイ</t>
    </rPh>
    <rPh sb="2" eb="3">
      <t>リツ</t>
    </rPh>
    <phoneticPr fontId="1"/>
  </si>
  <si>
    <t>T1234567890123</t>
    <phoneticPr fontId="1"/>
  </si>
  <si>
    <t>税率内訳</t>
    <rPh sb="0" eb="2">
      <t>ゼイリツ</t>
    </rPh>
    <rPh sb="2" eb="4">
      <t>ウチワケ</t>
    </rPh>
    <phoneticPr fontId="1"/>
  </si>
  <si>
    <t>税抜金額</t>
    <rPh sb="0" eb="1">
      <t>ゼイ</t>
    </rPh>
    <rPh sb="1" eb="2">
      <t>ヌ</t>
    </rPh>
    <rPh sb="2" eb="4">
      <t>キンガク</t>
    </rPh>
    <phoneticPr fontId="1"/>
  </si>
  <si>
    <t>消費税額</t>
    <rPh sb="0" eb="3">
      <t>ショウヒゼイ</t>
    </rPh>
    <rPh sb="3" eb="4">
      <t>ガク</t>
    </rPh>
    <phoneticPr fontId="1"/>
  </si>
  <si>
    <t>10%対象</t>
    <rPh sb="3" eb="5">
      <t>タイショウ</t>
    </rPh>
    <phoneticPr fontId="1"/>
  </si>
  <si>
    <t>軽減8%対象</t>
    <rPh sb="0" eb="2">
      <t>ケイゲン</t>
    </rPh>
    <rPh sb="4" eb="6">
      <t>タイショウ</t>
    </rPh>
    <phoneticPr fontId="1"/>
  </si>
  <si>
    <t>登録番号：</t>
    <rPh sb="0" eb="2">
      <t>トウロク</t>
    </rPh>
    <rPh sb="2" eb="4">
      <t>バンゴウ</t>
    </rPh>
    <phoneticPr fontId="1"/>
  </si>
  <si>
    <t>担当：</t>
    <phoneticPr fontId="1"/>
  </si>
  <si>
    <t>contact@sample.co.jp</t>
    <phoneticPr fontId="1"/>
  </si>
  <si>
    <t xml:space="preserve">No. </t>
    <phoneticPr fontId="1"/>
  </si>
  <si>
    <t>件名</t>
    <rPh sb="0" eb="2">
      <t>ケンメイ</t>
    </rPh>
    <phoneticPr fontId="1"/>
  </si>
  <si>
    <t>摘 要</t>
    <rPh sb="0" eb="1">
      <t>テキ</t>
    </rPh>
    <rPh sb="2" eb="3">
      <t>ヨウ</t>
    </rPh>
    <phoneticPr fontId="1"/>
  </si>
  <si>
    <t>受渡期日</t>
    <rPh sb="0" eb="4">
      <t>ウケワタシキジツ</t>
    </rPh>
    <phoneticPr fontId="1"/>
  </si>
  <si>
    <t>支払条件</t>
    <rPh sb="0" eb="2">
      <t>シハラ</t>
    </rPh>
    <rPh sb="2" eb="4">
      <t>ジョウケン</t>
    </rPh>
    <phoneticPr fontId="1"/>
  </si>
  <si>
    <t>有効期限</t>
    <rPh sb="0" eb="4">
      <t>ユウコウキゲン</t>
    </rPh>
    <phoneticPr fontId="1"/>
  </si>
  <si>
    <t>○○ ○○</t>
    <phoneticPr fontId="1"/>
  </si>
  <si>
    <t>下記のとおり御見積申し上げます。</t>
    <rPh sb="6" eb="7">
      <t>ゴ</t>
    </rPh>
    <rPh sb="7" eb="9">
      <t>ミツモリ</t>
    </rPh>
    <rPh sb="9" eb="10">
      <t>モウ</t>
    </rPh>
    <rPh sb="11" eb="12">
      <t>ア</t>
    </rPh>
    <phoneticPr fontId="1"/>
  </si>
  <si>
    <t>XXXXXXXXX</t>
    <phoneticPr fontId="1"/>
  </si>
  <si>
    <t>見積日</t>
    <rPh sb="0" eb="3">
      <t>ミツモリビ</t>
    </rPh>
    <phoneticPr fontId="1"/>
  </si>
  <si>
    <t>株式会社 ○○○○○○</t>
    <rPh sb="0" eb="4">
      <t>カブシキガイシャ</t>
    </rPh>
    <phoneticPr fontId="1"/>
  </si>
  <si>
    <t>令和○年○月○日</t>
    <rPh sb="0" eb="2">
      <t>レイワ</t>
    </rPh>
    <rPh sb="3" eb="4">
      <t>ネン</t>
    </rPh>
    <rPh sb="5" eb="6">
      <t>ツキ</t>
    </rPh>
    <rPh sb="7" eb="8">
      <t>ヒ</t>
    </rPh>
    <phoneticPr fontId="1"/>
  </si>
  <si>
    <t>令和○年○月○日</t>
    <phoneticPr fontId="1"/>
  </si>
  <si>
    <t>御見積書</t>
    <rPh sb="0" eb="1">
      <t>オン</t>
    </rPh>
    <rPh sb="1" eb="2">
      <t>ミ</t>
    </rPh>
    <rPh sb="2" eb="3">
      <t>セキ</t>
    </rPh>
    <rPh sb="3" eb="4">
      <t>ショ</t>
    </rPh>
    <phoneticPr fontId="1"/>
  </si>
  <si>
    <t>XXXXXX-XX</t>
    <phoneticPr fontId="1"/>
  </si>
  <si>
    <t>（税込）</t>
    <phoneticPr fontId="1"/>
  </si>
  <si>
    <t>合計</t>
    <rPh sb="0" eb="2">
      <t>ゴウケイ</t>
    </rPh>
    <phoneticPr fontId="1"/>
  </si>
  <si>
    <t>備考：</t>
    <rPh sb="0" eb="1">
      <t>ビ</t>
    </rPh>
    <rPh sb="1" eb="2">
      <t>コウ</t>
    </rPh>
    <phoneticPr fontId="1"/>
  </si>
  <si>
    <t>担当　〇〇様</t>
    <rPh sb="0" eb="2">
      <t>タントウ</t>
    </rPh>
    <rPh sb="5" eb="6">
      <t>サマ</t>
    </rPh>
    <phoneticPr fontId="1"/>
  </si>
  <si>
    <t>見積書の有効期限は令和○年○月○日までとさせて頂きます。
納期は、契約書締結から〇〇日を予定しております。
お振込みの際の手数料は御社ご負担にてお願いいたします。</t>
    <rPh sb="0" eb="3">
      <t>ミツモリショ</t>
    </rPh>
    <rPh sb="4" eb="8">
      <t>ユウコウキゲン</t>
    </rPh>
    <rPh sb="9" eb="11">
      <t>レイワ</t>
    </rPh>
    <rPh sb="12" eb="13">
      <t>ネン</t>
    </rPh>
    <rPh sb="14" eb="15">
      <t>ツキ</t>
    </rPh>
    <rPh sb="16" eb="17">
      <t>ヒ</t>
    </rPh>
    <rPh sb="23" eb="24">
      <t>イタダ</t>
    </rPh>
    <rPh sb="29" eb="31">
      <t>ノウキ</t>
    </rPh>
    <rPh sb="33" eb="38">
      <t>ケイヤクショテイケツ</t>
    </rPh>
    <rPh sb="42" eb="43">
      <t>ニチ</t>
    </rPh>
    <rPh sb="44" eb="46">
      <t>ヨテイ</t>
    </rPh>
    <rPh sb="55" eb="57">
      <t>フリコ</t>
    </rPh>
    <rPh sb="59" eb="60">
      <t>サイ</t>
    </rPh>
    <rPh sb="61" eb="64">
      <t>テスウリョウ</t>
    </rPh>
    <rPh sb="65" eb="67">
      <t>オンシャ</t>
    </rPh>
    <rPh sb="68" eb="70">
      <t>フタン</t>
    </rPh>
    <rPh sb="73" eb="74">
      <t>ネガ</t>
    </rPh>
    <phoneticPr fontId="1"/>
  </si>
  <si>
    <t>【EXCEL-NEXT】人気Excelテンプレート</t>
    <rPh sb="12" eb="14">
      <t>ニンキ</t>
    </rPh>
    <phoneticPr fontId="1"/>
  </si>
  <si>
    <t>EXCEL-NEXTでは、便利なExcelテンプレートを提供しています。</t>
    <rPh sb="13" eb="15">
      <t>ベンリ</t>
    </rPh>
    <rPh sb="28" eb="30">
      <t>テイキョウ</t>
    </rPh>
    <phoneticPr fontId="1"/>
  </si>
  <si>
    <t>その中でも、人気の高いものを集めてご紹介します。</t>
    <rPh sb="2" eb="3">
      <t>ナカ</t>
    </rPh>
    <rPh sb="6" eb="8">
      <t>ニンキ</t>
    </rPh>
    <rPh sb="9" eb="10">
      <t>タカ</t>
    </rPh>
    <rPh sb="14" eb="15">
      <t>アツ</t>
    </rPh>
    <rPh sb="18" eb="20">
      <t>ショウカイ</t>
    </rPh>
    <phoneticPr fontId="1"/>
  </si>
  <si>
    <t>便利で、どのような業態でもご利用いただけます。ダウンロードして、皆さんの業務にお役立てください。</t>
    <rPh sb="0" eb="2">
      <t>ベンリ</t>
    </rPh>
    <rPh sb="32" eb="33">
      <t>ミナ</t>
    </rPh>
    <rPh sb="36" eb="38">
      <t>ギョウム</t>
    </rPh>
    <rPh sb="40" eb="42">
      <t>ヤクダ</t>
    </rPh>
    <phoneticPr fontId="1"/>
  </si>
  <si>
    <t>■カレンダー</t>
    <phoneticPr fontId="1"/>
  </si>
  <si>
    <t>【カレンダー】年間カレンダー｜Ａ４タテ・１ページ・カラフル・印刷向け・掲示用</t>
    <rPh sb="32" eb="33">
      <t>ム</t>
    </rPh>
    <rPh sb="37" eb="38">
      <t>ヨウ</t>
    </rPh>
    <phoneticPr fontId="1"/>
  </si>
  <si>
    <t>https://excel-next.com/calendar-1page-portrait/</t>
    <phoneticPr fontId="1"/>
  </si>
  <si>
    <t>【カレンダー】年間カレンダー（月単位）｜Ａ４・ヨコ・印刷向け・掲示用</t>
    <phoneticPr fontId="1"/>
  </si>
  <si>
    <t>https://excel-next.com/calendar-monthly-border-lateral/</t>
    <phoneticPr fontId="1"/>
  </si>
  <si>
    <t>【カレンダー】２ヶ月カレンダー｜２カ月用・Ａ４タテ・国民の祝日</t>
    <phoneticPr fontId="1"/>
  </si>
  <si>
    <t>https://excel-next.com/calendar-2months-border-portrait/</t>
    <phoneticPr fontId="1"/>
  </si>
  <si>
    <t>【カレンダー】日毎横リスト形式カレンダー｜四半期１ページ・祝日対応</t>
    <rPh sb="21" eb="24">
      <t>シハンキ</t>
    </rPh>
    <phoneticPr fontId="1"/>
  </si>
  <si>
    <t>https://excel-next.com/schedule-lateral/</t>
    <phoneticPr fontId="1"/>
  </si>
  <si>
    <t>■イベントスケジュール</t>
    <phoneticPr fontId="1"/>
  </si>
  <si>
    <t>【イベントスケジュール】年間イベントスケジュール（日毎）｜Ａ４ヨコ・１ページ・国民の祝日・１月始まり</t>
    <rPh sb="46" eb="47">
      <t>ガツ</t>
    </rPh>
    <rPh sb="47" eb="48">
      <t>ハジ</t>
    </rPh>
    <phoneticPr fontId="1"/>
  </si>
  <si>
    <t>https://excel-next.com/annual-calendar-1-to-12/</t>
    <phoneticPr fontId="1"/>
  </si>
  <si>
    <t>【イベントスケジュール】年間イベントスケジュール（日毎）｜Ａ４ヨコ・１ページ・国民の祝日・４月始まり</t>
    <rPh sb="46" eb="47">
      <t>ガツ</t>
    </rPh>
    <rPh sb="47" eb="48">
      <t>ハジ</t>
    </rPh>
    <phoneticPr fontId="1"/>
  </si>
  <si>
    <t>https://excel-next.com/annual-calendar-4-to-3/</t>
    <phoneticPr fontId="1"/>
  </si>
  <si>
    <t>■プロジェクト管理</t>
    <rPh sb="7" eb="9">
      <t>カンリ</t>
    </rPh>
    <phoneticPr fontId="1"/>
  </si>
  <si>
    <t>【ガントチャート】自動描画ツール｜（便利！）作業と日付を記入するとスケジュールのグラフを自動描画します・タスク管理・工程管理・サンプル付き</t>
    <phoneticPr fontId="1"/>
  </si>
  <si>
    <t>https://excel-next.com/gantt-chart-macro/</t>
    <phoneticPr fontId="1"/>
  </si>
  <si>
    <t>【ガントチャート】ガントチャート（週単位）｜シンプル・入力補助・フィルター付き・サンプル付き</t>
    <rPh sb="17" eb="18">
      <t>シュウ</t>
    </rPh>
    <phoneticPr fontId="1"/>
  </si>
  <si>
    <t>https://excel-next.com/gantt-chart-week/</t>
    <phoneticPr fontId="1"/>
  </si>
  <si>
    <t>【ガントチャート】ガントチャート（時間単位）｜タイムテーブル作成・入力補助・フィルター付き</t>
    <phoneticPr fontId="1"/>
  </si>
  <si>
    <t>https://excel-next.com/gantt-chart-hour/</t>
    <phoneticPr fontId="1"/>
  </si>
  <si>
    <t>■タスク管理</t>
    <rPh sb="4" eb="6">
      <t>カンリ</t>
    </rPh>
    <phoneticPr fontId="1"/>
  </si>
  <si>
    <t>【タスク管理】タスク管理表｜チーム向け・タスク管理・入力補助・フィルター付き</t>
    <phoneticPr fontId="1"/>
  </si>
  <si>
    <t>https://excel-next.com/task-list/</t>
    <phoneticPr fontId="1"/>
  </si>
  <si>
    <t>【タスク管理】TODOリスト｜集計・フィルター・入力補助付き</t>
    <rPh sb="4" eb="6">
      <t>カンリ</t>
    </rPh>
    <phoneticPr fontId="1"/>
  </si>
  <si>
    <t>https://excel-next.com/todo-list/</t>
    <phoneticPr fontId="1"/>
  </si>
  <si>
    <t>■業務テンプレート</t>
    <rPh sb="1" eb="3">
      <t>ギョウム</t>
    </rPh>
    <phoneticPr fontId="1"/>
  </si>
  <si>
    <t>【業務テンプレート】議事録｜発言録形式・フリーフォーマット・たくさん書ける</t>
    <phoneticPr fontId="1"/>
  </si>
  <si>
    <t>https://excel-next.com/minutes-remarks/</t>
    <phoneticPr fontId="1"/>
  </si>
  <si>
    <t>【業務テンプレート】作業手順書｜手順のリスト・マニュアル作成向け</t>
    <phoneticPr fontId="1"/>
  </si>
  <si>
    <t>https://excel-next.com/work-instruction-procedure-list/</t>
    <phoneticPr fontId="1"/>
  </si>
  <si>
    <t>【業務テンプレート】業務日報｜個人・時刻別・承認あり</t>
    <phoneticPr fontId="1"/>
  </si>
  <si>
    <t>https://excel-next.com/daily-report-time-list/</t>
    <phoneticPr fontId="1"/>
  </si>
  <si>
    <t>■名簿</t>
    <rPh sb="1" eb="3">
      <t>メイボ</t>
    </rPh>
    <phoneticPr fontId="1"/>
  </si>
  <si>
    <t>【名簿】参加者名簿｜簡易形式・法人／個人両対応</t>
    <phoneticPr fontId="1"/>
  </si>
  <si>
    <t>https://excel-next.com/participants-list/</t>
    <phoneticPr fontId="1"/>
  </si>
  <si>
    <t>【名簿】顧客管理表（法人）｜シンプル・法人向け・フィルター・入力補助付き</t>
    <phoneticPr fontId="1"/>
  </si>
  <si>
    <t>https://excel-next.com/customer-list/</t>
    <phoneticPr fontId="1"/>
  </si>
  <si>
    <t>■販売・営業</t>
    <rPh sb="1" eb="3">
      <t>ハンバイ</t>
    </rPh>
    <rPh sb="4" eb="6">
      <t>エイギョウ</t>
    </rPh>
    <phoneticPr fontId="1"/>
  </si>
  <si>
    <t>【販売・営業】請求書（インボイス対応）｜タテ・青枠</t>
    <phoneticPr fontId="1"/>
  </si>
  <si>
    <t>https://excel-next.com/invoice-portrait/</t>
    <phoneticPr fontId="1"/>
  </si>
  <si>
    <t>【販売・営業】見積書（インボイス対応）｜タテ・青枠</t>
    <phoneticPr fontId="1"/>
  </si>
  <si>
    <t>https://excel-next.com/estimate-portrait/</t>
    <phoneticPr fontId="1"/>
  </si>
  <si>
    <t>【販売・営業】発注書・注文書（インボイス対応）｜タテ・青枠</t>
    <phoneticPr fontId="1"/>
  </si>
  <si>
    <t>https://excel-next.com/purchase-order-portrait/</t>
    <phoneticPr fontId="1"/>
  </si>
  <si>
    <t>■旅行日程表</t>
    <phoneticPr fontId="1"/>
  </si>
  <si>
    <t>【旅行日程表】旅行日程表（２泊３日）｜タテ用紙・リスト形式・すぐに使えるサンプル付き</t>
    <phoneticPr fontId="1"/>
  </si>
  <si>
    <t>https://excel-next.com/trip-itinerary-3days/</t>
    <phoneticPr fontId="1"/>
  </si>
  <si>
    <t>【旅行日程表】旅行日程表（３泊４日）｜タテ用紙・リスト形式・すぐに使えるサンプル付き</t>
    <phoneticPr fontId="1"/>
  </si>
  <si>
    <t>https://excel-next.com/trip-itinerary-4days/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</si>
</sst>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¥&quot;#,##0;&quot;¥&quot;\-#,##0"/>
    <numFmt numFmtId="176" formatCode="m/d/yy;@"/>
    <numFmt numFmtId="177" formatCode="#,##0_ "/>
    <numFmt numFmtId="178" formatCode="&quot;¥&quot;#,##0_);[Red]\(&quot;¥&quot;#,##0\)"/>
  </numFmts>
  <fonts count="2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1"/>
      <color theme="10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  <font>
      <sz val="14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b/>
      <sz val="20"/>
      <color theme="0"/>
      <name val="游ゴシック"/>
      <family val="3"/>
      <charset val="128"/>
      <scheme val="minor"/>
    </font>
    <font>
      <b/>
      <sz val="18"/>
      <name val="游ゴシック"/>
      <family val="3"/>
      <charset val="128"/>
      <scheme val="minor"/>
    </font>
    <font>
      <b/>
      <sz val="11"/>
      <color theme="4" tint="-0.499984740745262"/>
      <name val="游ゴシック"/>
      <family val="3"/>
      <charset val="128"/>
      <scheme val="minor"/>
    </font>
    <font>
      <sz val="11"/>
      <color rgb="FF9C0006"/>
      <name val="游ゴシック"/>
      <family val="2"/>
      <charset val="128"/>
      <scheme val="minor"/>
    </font>
    <font>
      <b/>
      <sz val="11"/>
      <color rgb="FF9C0006"/>
      <name val="游ゴシック"/>
      <family val="2"/>
      <charset val="128"/>
      <scheme val="minor"/>
    </font>
    <font>
      <b/>
      <u/>
      <sz val="11"/>
      <color theme="1" tint="0.34998626667073579"/>
      <name val="ＭＳ Ｐゴシック"/>
      <family val="3"/>
      <charset val="128"/>
    </font>
    <font>
      <sz val="11"/>
      <color theme="1" tint="0.34998626667073579"/>
      <name val="ＭＳ Ｐゴシック"/>
      <family val="3"/>
      <charset val="128"/>
    </font>
    <font>
      <b/>
      <sz val="11"/>
      <color theme="1" tint="0.34998626667073579"/>
      <name val="ＭＳ Ｐゴシック"/>
      <family val="3"/>
      <charset val="128"/>
    </font>
    <font>
      <b/>
      <u/>
      <sz val="11"/>
      <color theme="1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7CE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thin">
        <color theme="4" tint="-0.499984740745262"/>
      </bottom>
      <diagonal/>
    </border>
    <border>
      <left/>
      <right/>
      <top style="thin">
        <color theme="4" tint="-0.499984740745262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double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</borders>
  <cellStyleXfs count="8">
    <xf numFmtId="0" fontId="0" fillId="0" borderId="0">
      <alignment vertical="center"/>
    </xf>
    <xf numFmtId="176" fontId="2" fillId="0" borderId="0" applyFont="0" applyFill="0" applyBorder="0" applyAlignment="0">
      <alignment wrapText="1"/>
    </xf>
    <xf numFmtId="0" fontId="4" fillId="0" borderId="0">
      <alignment vertical="center"/>
    </xf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6" fillId="0" borderId="0"/>
    <xf numFmtId="0" fontId="16" fillId="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7" fillId="3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top"/>
    </xf>
    <xf numFmtId="177" fontId="7" fillId="0" borderId="0" xfId="0" applyNumberFormat="1" applyFont="1" applyAlignment="1">
      <alignment horizontal="center" vertical="center"/>
    </xf>
    <xf numFmtId="178" fontId="7" fillId="0" borderId="0" xfId="0" applyNumberFormat="1" applyFont="1">
      <alignment vertical="center"/>
    </xf>
    <xf numFmtId="9" fontId="7" fillId="0" borderId="0" xfId="0" applyNumberFormat="1" applyFont="1" applyAlignment="1">
      <alignment horizontal="center" vertical="center"/>
    </xf>
    <xf numFmtId="5" fontId="0" fillId="0" borderId="0" xfId="0" applyNumberFormat="1">
      <alignment vertical="center"/>
    </xf>
    <xf numFmtId="0" fontId="7" fillId="0" borderId="0" xfId="0" applyFont="1" applyAlignment="1">
      <alignment vertical="top"/>
    </xf>
    <xf numFmtId="178" fontId="7" fillId="0" borderId="0" xfId="0" applyNumberFormat="1" applyFont="1" applyAlignment="1"/>
    <xf numFmtId="0" fontId="10" fillId="0" borderId="4" xfId="0" applyFont="1" applyBorder="1">
      <alignment vertical="center"/>
    </xf>
    <xf numFmtId="0" fontId="9" fillId="0" borderId="0" xfId="0" applyFont="1">
      <alignment vertical="center"/>
    </xf>
    <xf numFmtId="0" fontId="12" fillId="0" borderId="4" xfId="0" applyFont="1" applyBorder="1" applyAlignment="1">
      <alignment horizontal="left" vertical="top"/>
    </xf>
    <xf numFmtId="177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78" fontId="7" fillId="0" borderId="4" xfId="0" applyNumberFormat="1" applyFont="1" applyBorder="1">
      <alignment vertical="center"/>
    </xf>
    <xf numFmtId="9" fontId="7" fillId="0" borderId="4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78" fontId="7" fillId="0" borderId="7" xfId="0" applyNumberFormat="1" applyFont="1" applyBorder="1">
      <alignment vertical="center"/>
    </xf>
    <xf numFmtId="178" fontId="7" fillId="0" borderId="8" xfId="0" applyNumberFormat="1" applyFont="1" applyBorder="1">
      <alignment vertical="center"/>
    </xf>
    <xf numFmtId="0" fontId="15" fillId="6" borderId="9" xfId="0" applyFont="1" applyFill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4" xfId="0" applyFont="1" applyBorder="1" applyAlignment="1">
      <alignment horizontal="left" vertical="top" wrapText="1"/>
    </xf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left" vertical="center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13" fillId="4" borderId="0" xfId="0" applyFont="1" applyFill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4" fontId="7" fillId="0" borderId="10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15" fillId="6" borderId="10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178" fontId="14" fillId="5" borderId="0" xfId="0" applyNumberFormat="1" applyFont="1" applyFill="1" applyAlignment="1">
      <alignment horizontal="right" vertical="center"/>
    </xf>
    <xf numFmtId="178" fontId="14" fillId="5" borderId="4" xfId="0" applyNumberFormat="1" applyFont="1" applyFill="1" applyBorder="1" applyAlignment="1">
      <alignment horizontal="right" vertical="center"/>
    </xf>
    <xf numFmtId="0" fontId="11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16" fillId="7" borderId="0" xfId="6">
      <alignment vertical="center"/>
    </xf>
    <xf numFmtId="0" fontId="17" fillId="7" borderId="0" xfId="6" applyFont="1">
      <alignment vertical="center"/>
    </xf>
    <xf numFmtId="0" fontId="18" fillId="0" borderId="0" xfId="2" applyFont="1">
      <alignment vertical="center"/>
    </xf>
    <xf numFmtId="0" fontId="19" fillId="0" borderId="0" xfId="2" applyFont="1">
      <alignment vertical="center"/>
    </xf>
    <xf numFmtId="0" fontId="20" fillId="0" borderId="0" xfId="2" applyFont="1">
      <alignment vertical="center"/>
    </xf>
    <xf numFmtId="0" fontId="21" fillId="0" borderId="0" xfId="7" applyFont="1">
      <alignment vertical="center"/>
    </xf>
  </cellXfs>
  <cellStyles count="8">
    <cellStyle name="ハイパーリンク" xfId="7" builtinId="8"/>
    <cellStyle name="ハイパーリンク 2" xfId="3" xr:uid="{4D19076F-66E5-4A39-B337-CE795CE03909}"/>
    <cellStyle name="ハイパーリンク 2 2" xfId="4" xr:uid="{A6E4807A-0B5B-424E-BD8C-DADD5CCB635B}"/>
    <cellStyle name="悪い" xfId="6" builtinId="27"/>
    <cellStyle name="日付" xfId="1" xr:uid="{F34E89F7-D99A-4055-A58F-D5F2B96D359E}"/>
    <cellStyle name="標準" xfId="0" builtinId="0"/>
    <cellStyle name="標準 2" xfId="5" xr:uid="{172DD22E-C02E-4B1C-B477-F0E6F022A327}"/>
    <cellStyle name="標準 3" xfId="2" xr:uid="{98F6E334-DAB5-4A35-9522-7CFB1AF89C8C}"/>
  </cellStyles>
  <dxfs count="1"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0000"/>
      <color rgb="FFFFFFCC"/>
      <color rgb="FFFFE1FF"/>
      <color rgb="FFFFE5E5"/>
      <color rgb="FFFFCCFF"/>
      <color rgb="FFF7F7F7"/>
      <color rgb="FFF6F8FC"/>
      <color rgb="FFD9F1FF"/>
      <color rgb="FFE1FFFF"/>
      <color rgb="FFE1F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161926</xdr:colOff>
      <xdr:row>6</xdr:row>
      <xdr:rowOff>95250</xdr:rowOff>
    </xdr:from>
    <xdr:to>
      <xdr:col>10</xdr:col>
      <xdr:colOff>981076</xdr:colOff>
      <xdr:row>9</xdr:row>
      <xdr:rowOff>180975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E9CEB451-5545-F7C1-AB27-29DD97246EA9}"/>
            </a:ext>
          </a:extLst>
        </xdr:cNvPr>
        <xdr:cNvSpPr/>
      </xdr:nvSpPr>
      <xdr:spPr>
        <a:xfrm>
          <a:off x="6762751" y="1076325"/>
          <a:ext cx="819150" cy="790575"/>
        </a:xfrm>
        <a:prstGeom prst="round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>
              <a:solidFill>
                <a:srgbClr val="FF0000"/>
              </a:solidFill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印社</a:t>
          </a:r>
          <a:endParaRPr kumimoji="1" lang="en-US" altLang="ja-JP" sz="2000">
            <a:solidFill>
              <a:srgbClr val="FF0000"/>
            </a:solidFill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excel-next.com/task-list/" TargetMode="External"/><Relationship Id="rId13" Type="http://schemas.openxmlformats.org/officeDocument/2006/relationships/hyperlink" Target="https://excel-next.com/participants-list/" TargetMode="External"/><Relationship Id="rId18" Type="http://schemas.openxmlformats.org/officeDocument/2006/relationships/hyperlink" Target="https://excel-next.com/estimate-portrait/" TargetMode="External"/><Relationship Id="rId3" Type="http://schemas.openxmlformats.org/officeDocument/2006/relationships/hyperlink" Target="https://excel-next.com/calendar-2months-border-portrait/" TargetMode="External"/><Relationship Id="rId21" Type="http://schemas.openxmlformats.org/officeDocument/2006/relationships/hyperlink" Target="https://excel-next.com/trip-itinerary-4days/" TargetMode="External"/><Relationship Id="rId7" Type="http://schemas.openxmlformats.org/officeDocument/2006/relationships/hyperlink" Target="https://excel-next.com/gantt-chart-hour/" TargetMode="External"/><Relationship Id="rId12" Type="http://schemas.openxmlformats.org/officeDocument/2006/relationships/hyperlink" Target="https://excel-next.com/daily-report-time-list/" TargetMode="External"/><Relationship Id="rId17" Type="http://schemas.openxmlformats.org/officeDocument/2006/relationships/hyperlink" Target="https://excel-next.com/invoice-portrait/" TargetMode="External"/><Relationship Id="rId2" Type="http://schemas.openxmlformats.org/officeDocument/2006/relationships/hyperlink" Target="https://excel-next.com/calendar-monthly-border-lateral/" TargetMode="External"/><Relationship Id="rId16" Type="http://schemas.openxmlformats.org/officeDocument/2006/relationships/hyperlink" Target="https://excel-next.com/customer-list/" TargetMode="External"/><Relationship Id="rId20" Type="http://schemas.openxmlformats.org/officeDocument/2006/relationships/hyperlink" Target="https://excel-next.com/trip-itinerary-3days/" TargetMode="External"/><Relationship Id="rId1" Type="http://schemas.openxmlformats.org/officeDocument/2006/relationships/hyperlink" Target="https://excel-next.com/calendar-1page-portrait/" TargetMode="External"/><Relationship Id="rId6" Type="http://schemas.openxmlformats.org/officeDocument/2006/relationships/hyperlink" Target="https://excel-next.com/gantt-chart-week/" TargetMode="External"/><Relationship Id="rId11" Type="http://schemas.openxmlformats.org/officeDocument/2006/relationships/hyperlink" Target="https://excel-next.com/work-instruction-procedure-list/" TargetMode="External"/><Relationship Id="rId5" Type="http://schemas.openxmlformats.org/officeDocument/2006/relationships/hyperlink" Target="https://excel-next.com/gantt-chart-macro/" TargetMode="External"/><Relationship Id="rId15" Type="http://schemas.openxmlformats.org/officeDocument/2006/relationships/hyperlink" Target="https://excel-next.com/annual-calendar-4-to-3/" TargetMode="External"/><Relationship Id="rId10" Type="http://schemas.openxmlformats.org/officeDocument/2006/relationships/hyperlink" Target="https://excel-next.com/minutes-remarks/" TargetMode="External"/><Relationship Id="rId19" Type="http://schemas.openxmlformats.org/officeDocument/2006/relationships/hyperlink" Target="https://excel-next.com/purchase-order-portrait/" TargetMode="External"/><Relationship Id="rId4" Type="http://schemas.openxmlformats.org/officeDocument/2006/relationships/hyperlink" Target="https://excel-next.com/schedule-lateral/" TargetMode="External"/><Relationship Id="rId9" Type="http://schemas.openxmlformats.org/officeDocument/2006/relationships/hyperlink" Target="https://excel-next.com/todo-list/" TargetMode="External"/><Relationship Id="rId14" Type="http://schemas.openxmlformats.org/officeDocument/2006/relationships/hyperlink" Target="https://excel-next.com/annual-calendar-1-to-1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92CD9-4895-4AD0-B552-0C04C810F03F}">
  <sheetPr>
    <pageSetUpPr fitToPage="1"/>
  </sheetPr>
  <dimension ref="A1:P44"/>
  <sheetViews>
    <sheetView showGridLines="0" tabSelected="1" view="pageBreakPreview" zoomScaleNormal="100" zoomScaleSheetLayoutView="100" workbookViewId="0">
      <selection activeCell="M1" sqref="M1"/>
    </sheetView>
  </sheetViews>
  <sheetFormatPr defaultRowHeight="13.5"/>
  <cols>
    <col min="1" max="1" width="1.25" customWidth="1"/>
    <col min="2" max="2" width="3.875" customWidth="1"/>
    <col min="3" max="3" width="9.5" customWidth="1"/>
    <col min="4" max="5" width="12.5" customWidth="1"/>
    <col min="6" max="6" width="14.75" customWidth="1"/>
    <col min="7" max="7" width="7.5" customWidth="1"/>
    <col min="8" max="8" width="6.125" customWidth="1"/>
    <col min="9" max="9" width="11.125" customWidth="1"/>
    <col min="10" max="10" width="7.5" customWidth="1"/>
    <col min="11" max="11" width="16.125" customWidth="1"/>
    <col min="12" max="12" width="1.25" customWidth="1"/>
    <col min="13" max="13" width="4" customWidth="1"/>
    <col min="14" max="16" width="14" customWidth="1"/>
  </cols>
  <sheetData>
    <row r="1" spans="1:12" ht="7.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8" customHeight="1">
      <c r="A2" s="9"/>
      <c r="B2" s="45" t="s">
        <v>66</v>
      </c>
      <c r="C2" s="45"/>
      <c r="D2" s="45"/>
      <c r="E2" s="8"/>
      <c r="F2" s="8"/>
      <c r="G2" s="8"/>
      <c r="H2" s="8"/>
      <c r="I2" s="10" t="s">
        <v>53</v>
      </c>
      <c r="J2" s="38" t="s">
        <v>67</v>
      </c>
      <c r="K2" s="38"/>
      <c r="L2" s="9"/>
    </row>
    <row r="3" spans="1:12" ht="18" customHeight="1" thickBot="1">
      <c r="A3" s="9"/>
      <c r="B3" s="46"/>
      <c r="C3" s="46"/>
      <c r="D3" s="46"/>
      <c r="E3" s="21"/>
      <c r="F3" s="21"/>
      <c r="G3" s="21"/>
      <c r="H3" s="21"/>
      <c r="I3" s="10" t="s">
        <v>62</v>
      </c>
      <c r="J3" s="43" t="s">
        <v>64</v>
      </c>
      <c r="K3" s="38"/>
      <c r="L3" s="9"/>
    </row>
    <row r="4" spans="1:12" ht="15.7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ht="18" customHeight="1">
      <c r="A5" s="9"/>
      <c r="B5" s="47" t="s">
        <v>32</v>
      </c>
      <c r="C5" s="47"/>
      <c r="D5" s="47"/>
      <c r="E5" s="47"/>
      <c r="F5" s="47"/>
      <c r="G5" s="9"/>
      <c r="L5" s="9"/>
    </row>
    <row r="6" spans="1:12" ht="18" customHeight="1">
      <c r="A6" s="9"/>
      <c r="B6" s="9" t="s">
        <v>10</v>
      </c>
      <c r="C6" s="22"/>
      <c r="D6" s="22"/>
      <c r="E6" s="22"/>
      <c r="F6" s="22"/>
      <c r="G6" s="9"/>
      <c r="H6" s="49" t="s">
        <v>63</v>
      </c>
      <c r="I6" s="49"/>
      <c r="J6" s="49"/>
      <c r="K6" s="49"/>
      <c r="L6" s="9"/>
    </row>
    <row r="7" spans="1:12" ht="18.75">
      <c r="A7" s="9"/>
      <c r="B7" s="44" t="s">
        <v>38</v>
      </c>
      <c r="C7" s="44"/>
      <c r="D7" s="44"/>
      <c r="E7" s="44"/>
      <c r="F7" s="44"/>
      <c r="G7" s="9"/>
      <c r="H7" s="41" t="s">
        <v>10</v>
      </c>
      <c r="I7" s="41"/>
      <c r="J7" s="41"/>
      <c r="K7" s="41"/>
      <c r="L7" s="9"/>
    </row>
    <row r="8" spans="1:12" ht="18.75">
      <c r="A8" s="9"/>
      <c r="B8" s="44"/>
      <c r="C8" s="44"/>
      <c r="D8" s="44"/>
      <c r="E8" s="44"/>
      <c r="F8" s="44"/>
      <c r="G8" s="9"/>
      <c r="H8" s="44" t="s">
        <v>38</v>
      </c>
      <c r="I8" s="44"/>
      <c r="J8" s="44"/>
      <c r="K8" s="44"/>
      <c r="L8" s="9"/>
    </row>
    <row r="9" spans="1:12" ht="18.75">
      <c r="A9" s="9"/>
      <c r="B9" s="41" t="s">
        <v>71</v>
      </c>
      <c r="C9" s="41"/>
      <c r="D9" s="41"/>
      <c r="E9" s="41"/>
      <c r="F9" s="41"/>
      <c r="G9" s="9"/>
      <c r="H9" s="44"/>
      <c r="I9" s="44"/>
      <c r="J9" s="44"/>
      <c r="K9" s="44"/>
      <c r="L9" s="9"/>
    </row>
    <row r="10" spans="1:12" ht="7.5" customHeight="1">
      <c r="A10" s="9"/>
      <c r="B10" s="7"/>
      <c r="C10" s="7"/>
      <c r="D10" s="7"/>
      <c r="E10" s="7"/>
      <c r="F10" s="7"/>
      <c r="G10" s="9"/>
      <c r="L10" s="9"/>
    </row>
    <row r="11" spans="1:12" ht="18.75" customHeight="1">
      <c r="A11" s="9"/>
      <c r="B11" s="9" t="s">
        <v>60</v>
      </c>
      <c r="G11" s="9"/>
      <c r="L11" s="9"/>
    </row>
    <row r="12" spans="1:12" ht="18.75" customHeight="1">
      <c r="A12" s="9"/>
      <c r="B12" s="50" t="s">
        <v>54</v>
      </c>
      <c r="C12" s="50"/>
      <c r="D12" s="42" t="s">
        <v>37</v>
      </c>
      <c r="E12" s="42"/>
      <c r="F12" s="42"/>
      <c r="G12" s="9"/>
      <c r="H12" s="7" t="s">
        <v>11</v>
      </c>
      <c r="J12" s="41" t="s">
        <v>34</v>
      </c>
      <c r="K12" s="41"/>
      <c r="L12" s="9"/>
    </row>
    <row r="13" spans="1:12" ht="18.75" customHeight="1">
      <c r="A13" s="9"/>
      <c r="B13" s="50" t="s">
        <v>56</v>
      </c>
      <c r="C13" s="50"/>
      <c r="D13" s="48" t="s">
        <v>65</v>
      </c>
      <c r="E13" s="42"/>
      <c r="F13" s="42"/>
      <c r="G13" s="9"/>
      <c r="H13" s="7" t="s">
        <v>33</v>
      </c>
      <c r="J13" s="41" t="s">
        <v>34</v>
      </c>
      <c r="K13" s="41"/>
      <c r="L13" s="9"/>
    </row>
    <row r="14" spans="1:12" ht="18.75">
      <c r="A14" s="9"/>
      <c r="B14" s="50" t="s">
        <v>57</v>
      </c>
      <c r="C14" s="50"/>
      <c r="D14" s="42" t="s">
        <v>61</v>
      </c>
      <c r="E14" s="42"/>
      <c r="F14" s="42"/>
      <c r="G14" s="9"/>
      <c r="H14" s="7" t="s">
        <v>12</v>
      </c>
      <c r="J14" s="40" t="s">
        <v>52</v>
      </c>
      <c r="K14" s="40"/>
      <c r="L14" s="9"/>
    </row>
    <row r="15" spans="1:12" ht="18.75">
      <c r="A15" s="9"/>
      <c r="B15" s="50" t="s">
        <v>58</v>
      </c>
      <c r="C15" s="50"/>
      <c r="D15" s="48" t="s">
        <v>65</v>
      </c>
      <c r="E15" s="42"/>
      <c r="F15" s="42"/>
      <c r="G15" s="9"/>
      <c r="H15" s="12" t="s">
        <v>51</v>
      </c>
      <c r="J15" s="40" t="s">
        <v>59</v>
      </c>
      <c r="K15" s="40"/>
      <c r="L15" s="9"/>
    </row>
    <row r="16" spans="1:12" ht="7.5" customHeight="1">
      <c r="A16" s="9"/>
      <c r="G16" s="9"/>
      <c r="L16" s="9"/>
    </row>
    <row r="17" spans="1:16" ht="16.5" customHeight="1">
      <c r="A17" s="9"/>
      <c r="B17" s="54" t="s">
        <v>69</v>
      </c>
      <c r="C17" s="55"/>
      <c r="D17" s="52">
        <f>K38</f>
        <v>1364000</v>
      </c>
      <c r="E17" s="52"/>
      <c r="F17" s="52"/>
      <c r="H17" s="7" t="s">
        <v>50</v>
      </c>
      <c r="J17" s="41" t="s">
        <v>44</v>
      </c>
      <c r="K17" s="41"/>
      <c r="L17" s="9"/>
    </row>
    <row r="18" spans="1:16" ht="16.5" customHeight="1" thickBot="1">
      <c r="A18" s="9"/>
      <c r="B18" s="51" t="s">
        <v>68</v>
      </c>
      <c r="C18" s="51"/>
      <c r="D18" s="53"/>
      <c r="E18" s="53"/>
      <c r="F18" s="53"/>
      <c r="L18" s="9"/>
    </row>
    <row r="19" spans="1:16" ht="18.75" customHeight="1" thickBo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6" ht="21.75" customHeight="1" thickBot="1">
      <c r="A20" s="9"/>
      <c r="B20" s="32" t="s">
        <v>55</v>
      </c>
      <c r="C20" s="32"/>
      <c r="D20" s="32"/>
      <c r="E20" s="32"/>
      <c r="F20" s="32"/>
      <c r="G20" s="31" t="s">
        <v>13</v>
      </c>
      <c r="H20" s="31" t="s">
        <v>42</v>
      </c>
      <c r="I20" s="31" t="s">
        <v>14</v>
      </c>
      <c r="J20" s="31" t="s">
        <v>43</v>
      </c>
      <c r="K20" s="31" t="s">
        <v>15</v>
      </c>
      <c r="L20" s="9"/>
      <c r="N20" s="13" t="s">
        <v>31</v>
      </c>
      <c r="O20" s="13" t="s">
        <v>35</v>
      </c>
      <c r="P20" s="13" t="s">
        <v>36</v>
      </c>
    </row>
    <row r="21" spans="1:16" ht="21.75" customHeight="1" thickTop="1">
      <c r="A21" s="9"/>
      <c r="B21" s="14">
        <f t="shared" ref="B21:B35" si="0">ROW()-20</f>
        <v>1</v>
      </c>
      <c r="C21" s="33" t="s">
        <v>16</v>
      </c>
      <c r="D21" s="33"/>
      <c r="E21" s="33"/>
      <c r="F21" s="33"/>
      <c r="G21" s="15">
        <v>1</v>
      </c>
      <c r="H21" s="11" t="s">
        <v>4</v>
      </c>
      <c r="I21" s="16">
        <v>1000</v>
      </c>
      <c r="J21" s="17">
        <v>0.1</v>
      </c>
      <c r="K21" s="16">
        <f>IF(G21&lt;&gt;"",G21*I21,"")</f>
        <v>1000</v>
      </c>
      <c r="L21" s="9"/>
      <c r="N21" s="18">
        <f>IF(J21="非課税",K21,0)</f>
        <v>0</v>
      </c>
      <c r="O21" s="18">
        <f>IF(J21=8%,K21,0)</f>
        <v>0</v>
      </c>
      <c r="P21" s="18">
        <f>IF(J21=10%,K21,0)</f>
        <v>1000</v>
      </c>
    </row>
    <row r="22" spans="1:16" ht="21.75" customHeight="1">
      <c r="A22" s="9"/>
      <c r="B22" s="14">
        <f t="shared" si="0"/>
        <v>2</v>
      </c>
      <c r="C22" s="33" t="s">
        <v>17</v>
      </c>
      <c r="D22" s="33"/>
      <c r="E22" s="33"/>
      <c r="F22" s="33"/>
      <c r="G22" s="15">
        <v>2</v>
      </c>
      <c r="H22" s="11" t="s">
        <v>4</v>
      </c>
      <c r="I22" s="16">
        <v>2000</v>
      </c>
      <c r="J22" s="17">
        <v>0.1</v>
      </c>
      <c r="K22" s="16">
        <f t="shared" ref="K22:K35" si="1">IF(G22&lt;&gt;"",G22*I22,"")</f>
        <v>4000</v>
      </c>
      <c r="L22" s="9"/>
      <c r="N22" s="18">
        <f t="shared" ref="N22:N35" si="2">IF(J22="非課税",K22,0)</f>
        <v>0</v>
      </c>
      <c r="O22" s="18">
        <f t="shared" ref="O22:O35" si="3">IF(J22=8%,K22,0)</f>
        <v>0</v>
      </c>
      <c r="P22" s="18">
        <f t="shared" ref="P22:P35" si="4">IF(J22=10%,K22,0)</f>
        <v>4000</v>
      </c>
    </row>
    <row r="23" spans="1:16" ht="21.75" customHeight="1">
      <c r="A23" s="9"/>
      <c r="B23" s="14">
        <f t="shared" si="0"/>
        <v>3</v>
      </c>
      <c r="C23" s="33" t="s">
        <v>18</v>
      </c>
      <c r="D23" s="33"/>
      <c r="E23" s="33"/>
      <c r="F23" s="33"/>
      <c r="G23" s="15">
        <v>3</v>
      </c>
      <c r="H23" s="11" t="s">
        <v>4</v>
      </c>
      <c r="I23" s="16">
        <v>3000</v>
      </c>
      <c r="J23" s="17">
        <v>0.1</v>
      </c>
      <c r="K23" s="16">
        <f t="shared" si="1"/>
        <v>9000</v>
      </c>
      <c r="L23" s="9"/>
      <c r="N23" s="18">
        <f t="shared" si="2"/>
        <v>0</v>
      </c>
      <c r="O23" s="18">
        <f t="shared" si="3"/>
        <v>0</v>
      </c>
      <c r="P23" s="18">
        <f t="shared" si="4"/>
        <v>9000</v>
      </c>
    </row>
    <row r="24" spans="1:16" ht="21.75" customHeight="1">
      <c r="A24" s="9"/>
      <c r="B24" s="14">
        <f t="shared" si="0"/>
        <v>4</v>
      </c>
      <c r="C24" s="33" t="s">
        <v>19</v>
      </c>
      <c r="D24" s="33"/>
      <c r="E24" s="33"/>
      <c r="F24" s="33"/>
      <c r="G24" s="15">
        <v>4</v>
      </c>
      <c r="H24" s="11" t="s">
        <v>4</v>
      </c>
      <c r="I24" s="16">
        <v>4000</v>
      </c>
      <c r="J24" s="17">
        <v>0.1</v>
      </c>
      <c r="K24" s="16">
        <f t="shared" si="1"/>
        <v>16000</v>
      </c>
      <c r="L24" s="9"/>
      <c r="N24" s="18">
        <f t="shared" si="2"/>
        <v>0</v>
      </c>
      <c r="O24" s="18">
        <f t="shared" si="3"/>
        <v>0</v>
      </c>
      <c r="P24" s="18">
        <f t="shared" si="4"/>
        <v>16000</v>
      </c>
    </row>
    <row r="25" spans="1:16" ht="21.75" customHeight="1">
      <c r="A25" s="9"/>
      <c r="B25" s="14">
        <f t="shared" si="0"/>
        <v>5</v>
      </c>
      <c r="C25" s="33" t="s">
        <v>20</v>
      </c>
      <c r="D25" s="33"/>
      <c r="E25" s="33"/>
      <c r="F25" s="33"/>
      <c r="G25" s="15">
        <v>5</v>
      </c>
      <c r="H25" s="11" t="s">
        <v>4</v>
      </c>
      <c r="I25" s="16">
        <v>5000</v>
      </c>
      <c r="J25" s="17">
        <v>0.1</v>
      </c>
      <c r="K25" s="16">
        <f t="shared" si="1"/>
        <v>25000</v>
      </c>
      <c r="L25" s="9"/>
      <c r="N25" s="18">
        <f t="shared" si="2"/>
        <v>0</v>
      </c>
      <c r="O25" s="18">
        <f t="shared" si="3"/>
        <v>0</v>
      </c>
      <c r="P25" s="18">
        <f t="shared" si="4"/>
        <v>25000</v>
      </c>
    </row>
    <row r="26" spans="1:16" ht="21.75" customHeight="1">
      <c r="A26" s="9"/>
      <c r="B26" s="14">
        <f t="shared" si="0"/>
        <v>6</v>
      </c>
      <c r="C26" s="33" t="s">
        <v>21</v>
      </c>
      <c r="D26" s="33"/>
      <c r="E26" s="33"/>
      <c r="F26" s="33"/>
      <c r="G26" s="15">
        <v>6</v>
      </c>
      <c r="H26" s="11" t="s">
        <v>4</v>
      </c>
      <c r="I26" s="16">
        <v>6000</v>
      </c>
      <c r="J26" s="17">
        <v>0.1</v>
      </c>
      <c r="K26" s="16">
        <f t="shared" si="1"/>
        <v>36000</v>
      </c>
      <c r="L26" s="9"/>
      <c r="N26" s="18">
        <f t="shared" si="2"/>
        <v>0</v>
      </c>
      <c r="O26" s="18">
        <f t="shared" si="3"/>
        <v>0</v>
      </c>
      <c r="P26" s="18">
        <f t="shared" si="4"/>
        <v>36000</v>
      </c>
    </row>
    <row r="27" spans="1:16" ht="21.75" customHeight="1">
      <c r="A27" s="9"/>
      <c r="B27" s="14">
        <f t="shared" si="0"/>
        <v>7</v>
      </c>
      <c r="C27" s="33" t="s">
        <v>22</v>
      </c>
      <c r="D27" s="33"/>
      <c r="E27" s="33"/>
      <c r="F27" s="33"/>
      <c r="G27" s="15">
        <v>7</v>
      </c>
      <c r="H27" s="11" t="s">
        <v>4</v>
      </c>
      <c r="I27" s="16">
        <v>7000</v>
      </c>
      <c r="J27" s="17">
        <v>0.1</v>
      </c>
      <c r="K27" s="16">
        <f t="shared" si="1"/>
        <v>49000</v>
      </c>
      <c r="L27" s="9"/>
      <c r="N27" s="18">
        <f t="shared" si="2"/>
        <v>0</v>
      </c>
      <c r="O27" s="18">
        <f t="shared" si="3"/>
        <v>0</v>
      </c>
      <c r="P27" s="18">
        <f t="shared" si="4"/>
        <v>49000</v>
      </c>
    </row>
    <row r="28" spans="1:16" ht="21.75" customHeight="1">
      <c r="A28" s="9"/>
      <c r="B28" s="14">
        <f t="shared" si="0"/>
        <v>8</v>
      </c>
      <c r="C28" s="33" t="s">
        <v>23</v>
      </c>
      <c r="D28" s="33"/>
      <c r="E28" s="33"/>
      <c r="F28" s="33"/>
      <c r="G28" s="15">
        <v>8</v>
      </c>
      <c r="H28" s="11" t="s">
        <v>4</v>
      </c>
      <c r="I28" s="16">
        <v>8000</v>
      </c>
      <c r="J28" s="17">
        <v>0.1</v>
      </c>
      <c r="K28" s="16">
        <f t="shared" si="1"/>
        <v>64000</v>
      </c>
      <c r="L28" s="9"/>
      <c r="N28" s="18">
        <f t="shared" si="2"/>
        <v>0</v>
      </c>
      <c r="O28" s="18">
        <f t="shared" si="3"/>
        <v>0</v>
      </c>
      <c r="P28" s="18">
        <f t="shared" si="4"/>
        <v>64000</v>
      </c>
    </row>
    <row r="29" spans="1:16" ht="21.75" customHeight="1">
      <c r="A29" s="9"/>
      <c r="B29" s="14">
        <f t="shared" si="0"/>
        <v>9</v>
      </c>
      <c r="C29" s="33" t="s">
        <v>24</v>
      </c>
      <c r="D29" s="33"/>
      <c r="E29" s="33"/>
      <c r="F29" s="33"/>
      <c r="G29" s="15">
        <v>9</v>
      </c>
      <c r="H29" s="11" t="s">
        <v>4</v>
      </c>
      <c r="I29" s="16">
        <v>9000</v>
      </c>
      <c r="J29" s="17">
        <v>0.1</v>
      </c>
      <c r="K29" s="16">
        <f t="shared" si="1"/>
        <v>81000</v>
      </c>
      <c r="L29" s="9"/>
      <c r="N29" s="18">
        <f t="shared" si="2"/>
        <v>0</v>
      </c>
      <c r="O29" s="18">
        <f t="shared" si="3"/>
        <v>0</v>
      </c>
      <c r="P29" s="18">
        <f t="shared" si="4"/>
        <v>81000</v>
      </c>
    </row>
    <row r="30" spans="1:16" ht="21.75" customHeight="1">
      <c r="A30" s="9"/>
      <c r="B30" s="14">
        <f t="shared" si="0"/>
        <v>10</v>
      </c>
      <c r="C30" s="33" t="s">
        <v>25</v>
      </c>
      <c r="D30" s="33"/>
      <c r="E30" s="33"/>
      <c r="F30" s="33"/>
      <c r="G30" s="15">
        <v>10</v>
      </c>
      <c r="H30" s="11" t="s">
        <v>4</v>
      </c>
      <c r="I30" s="16">
        <v>10000</v>
      </c>
      <c r="J30" s="17">
        <v>0.1</v>
      </c>
      <c r="K30" s="16">
        <f t="shared" si="1"/>
        <v>100000</v>
      </c>
      <c r="L30" s="9"/>
      <c r="N30" s="18">
        <f t="shared" si="2"/>
        <v>0</v>
      </c>
      <c r="O30" s="18">
        <f t="shared" si="3"/>
        <v>0</v>
      </c>
      <c r="P30" s="18">
        <f t="shared" si="4"/>
        <v>100000</v>
      </c>
    </row>
    <row r="31" spans="1:16" ht="21.75" customHeight="1">
      <c r="A31" s="9"/>
      <c r="B31" s="14">
        <f t="shared" si="0"/>
        <v>11</v>
      </c>
      <c r="C31" s="33" t="s">
        <v>26</v>
      </c>
      <c r="D31" s="33"/>
      <c r="E31" s="33"/>
      <c r="F31" s="33"/>
      <c r="G31" s="15">
        <v>11</v>
      </c>
      <c r="H31" s="11" t="s">
        <v>4</v>
      </c>
      <c r="I31" s="16">
        <v>11000</v>
      </c>
      <c r="J31" s="17">
        <v>0.1</v>
      </c>
      <c r="K31" s="16">
        <f t="shared" si="1"/>
        <v>121000</v>
      </c>
      <c r="L31" s="9"/>
      <c r="N31" s="18">
        <f t="shared" si="2"/>
        <v>0</v>
      </c>
      <c r="O31" s="18">
        <f t="shared" si="3"/>
        <v>0</v>
      </c>
      <c r="P31" s="18">
        <f t="shared" si="4"/>
        <v>121000</v>
      </c>
    </row>
    <row r="32" spans="1:16" ht="21.75" customHeight="1">
      <c r="A32" s="9"/>
      <c r="B32" s="14">
        <f t="shared" si="0"/>
        <v>12</v>
      </c>
      <c r="C32" s="33" t="s">
        <v>27</v>
      </c>
      <c r="D32" s="33"/>
      <c r="E32" s="33"/>
      <c r="F32" s="33"/>
      <c r="G32" s="15">
        <v>12</v>
      </c>
      <c r="H32" s="11" t="s">
        <v>4</v>
      </c>
      <c r="I32" s="16">
        <v>12000</v>
      </c>
      <c r="J32" s="17">
        <v>0.1</v>
      </c>
      <c r="K32" s="16">
        <f t="shared" si="1"/>
        <v>144000</v>
      </c>
      <c r="L32" s="9"/>
      <c r="N32" s="18">
        <f t="shared" si="2"/>
        <v>0</v>
      </c>
      <c r="O32" s="18">
        <f t="shared" si="3"/>
        <v>0</v>
      </c>
      <c r="P32" s="18">
        <f t="shared" si="4"/>
        <v>144000</v>
      </c>
    </row>
    <row r="33" spans="1:16" ht="21.75" customHeight="1">
      <c r="A33" s="9"/>
      <c r="B33" s="14">
        <f t="shared" si="0"/>
        <v>13</v>
      </c>
      <c r="C33" s="33" t="s">
        <v>28</v>
      </c>
      <c r="D33" s="33"/>
      <c r="E33" s="33"/>
      <c r="F33" s="33"/>
      <c r="G33" s="15">
        <v>13</v>
      </c>
      <c r="H33" s="11" t="s">
        <v>4</v>
      </c>
      <c r="I33" s="16">
        <v>13000</v>
      </c>
      <c r="J33" s="17">
        <v>0.1</v>
      </c>
      <c r="K33" s="16">
        <f t="shared" si="1"/>
        <v>169000</v>
      </c>
      <c r="L33" s="9"/>
      <c r="N33" s="18">
        <f t="shared" si="2"/>
        <v>0</v>
      </c>
      <c r="O33" s="18">
        <f t="shared" si="3"/>
        <v>0</v>
      </c>
      <c r="P33" s="18">
        <f t="shared" si="4"/>
        <v>169000</v>
      </c>
    </row>
    <row r="34" spans="1:16" ht="21.75" customHeight="1">
      <c r="A34" s="9"/>
      <c r="B34" s="14">
        <f t="shared" si="0"/>
        <v>14</v>
      </c>
      <c r="C34" s="33" t="s">
        <v>29</v>
      </c>
      <c r="D34" s="33"/>
      <c r="E34" s="33"/>
      <c r="F34" s="33"/>
      <c r="G34" s="15">
        <v>14</v>
      </c>
      <c r="H34" s="11" t="s">
        <v>4</v>
      </c>
      <c r="I34" s="16">
        <v>14000</v>
      </c>
      <c r="J34" s="17">
        <v>0.1</v>
      </c>
      <c r="K34" s="16">
        <f t="shared" si="1"/>
        <v>196000</v>
      </c>
      <c r="L34" s="9"/>
      <c r="N34" s="18">
        <f t="shared" si="2"/>
        <v>0</v>
      </c>
      <c r="O34" s="18">
        <f t="shared" si="3"/>
        <v>0</v>
      </c>
      <c r="P34" s="18">
        <f t="shared" si="4"/>
        <v>196000</v>
      </c>
    </row>
    <row r="35" spans="1:16" ht="21.75" customHeight="1" thickBot="1">
      <c r="A35" s="9"/>
      <c r="B35" s="23">
        <f t="shared" si="0"/>
        <v>15</v>
      </c>
      <c r="C35" s="36" t="s">
        <v>30</v>
      </c>
      <c r="D35" s="36"/>
      <c r="E35" s="36"/>
      <c r="F35" s="36"/>
      <c r="G35" s="24">
        <v>15</v>
      </c>
      <c r="H35" s="25" t="s">
        <v>4</v>
      </c>
      <c r="I35" s="26">
        <v>15000</v>
      </c>
      <c r="J35" s="27">
        <v>0.1</v>
      </c>
      <c r="K35" s="26">
        <f t="shared" si="1"/>
        <v>225000</v>
      </c>
      <c r="L35" s="9"/>
      <c r="N35" s="18">
        <f t="shared" si="2"/>
        <v>0</v>
      </c>
      <c r="O35" s="18">
        <f t="shared" si="3"/>
        <v>0</v>
      </c>
      <c r="P35" s="18">
        <f t="shared" si="4"/>
        <v>225000</v>
      </c>
    </row>
    <row r="36" spans="1:16" ht="21.75" customHeight="1">
      <c r="A36" s="9"/>
      <c r="B36" s="19"/>
      <c r="C36" s="19"/>
      <c r="D36" s="9"/>
      <c r="E36" s="9"/>
      <c r="F36" s="9"/>
      <c r="G36" s="9"/>
      <c r="H36" s="9"/>
      <c r="I36" s="38" t="s">
        <v>39</v>
      </c>
      <c r="J36" s="38"/>
      <c r="K36" s="16">
        <f>SUM(K21:K35)</f>
        <v>1240000</v>
      </c>
      <c r="L36" s="9"/>
    </row>
    <row r="37" spans="1:16" ht="21.75" customHeight="1" thickBot="1">
      <c r="A37" s="9"/>
      <c r="B37" s="37" t="s">
        <v>45</v>
      </c>
      <c r="C37" s="37"/>
      <c r="D37" s="28" t="s">
        <v>46</v>
      </c>
      <c r="E37" s="28" t="s">
        <v>47</v>
      </c>
      <c r="G37" s="9"/>
      <c r="H37" s="9"/>
      <c r="I37" s="38" t="s">
        <v>40</v>
      </c>
      <c r="J37" s="38"/>
      <c r="K37" s="29">
        <f>SUM(E38:E40)</f>
        <v>124000</v>
      </c>
      <c r="L37" s="9"/>
    </row>
    <row r="38" spans="1:16" ht="21.75" customHeight="1" thickBot="1">
      <c r="A38" s="9"/>
      <c r="B38" s="35" t="s">
        <v>48</v>
      </c>
      <c r="C38" s="35"/>
      <c r="D38" s="20">
        <f>SUM(P21:P35)</f>
        <v>1240000</v>
      </c>
      <c r="E38" s="20">
        <f>FLOOR(SUM(D38)*0.1,1)</f>
        <v>124000</v>
      </c>
      <c r="F38" s="9"/>
      <c r="G38" s="9"/>
      <c r="H38" s="9"/>
      <c r="I38" s="38" t="s">
        <v>41</v>
      </c>
      <c r="J38" s="38"/>
      <c r="K38" s="30">
        <f>SUM(K36:K37)</f>
        <v>1364000</v>
      </c>
      <c r="L38" s="9"/>
    </row>
    <row r="39" spans="1:16" ht="18" customHeight="1">
      <c r="A39" s="9"/>
      <c r="B39" s="35" t="s">
        <v>49</v>
      </c>
      <c r="C39" s="35"/>
      <c r="D39" s="20">
        <f>SUM(O21:O35)</f>
        <v>0</v>
      </c>
      <c r="E39" s="20">
        <f>FLOOR(SUM(D39)*0.08,1)</f>
        <v>0</v>
      </c>
      <c r="F39" s="9"/>
      <c r="G39" s="9"/>
      <c r="H39" s="9"/>
      <c r="I39" s="11"/>
      <c r="J39" s="11"/>
      <c r="K39" s="16"/>
      <c r="L39" s="9"/>
    </row>
    <row r="40" spans="1:16" ht="18" customHeight="1">
      <c r="A40" s="9"/>
      <c r="B40" s="35" t="s">
        <v>9</v>
      </c>
      <c r="C40" s="35"/>
      <c r="D40" s="20">
        <f>SUM(N21:N35)</f>
        <v>0</v>
      </c>
      <c r="E40" s="20">
        <f>FLOOR(SUM(D40)*0,1)</f>
        <v>0</v>
      </c>
      <c r="F40" s="9"/>
      <c r="G40" s="9"/>
      <c r="H40" s="9"/>
      <c r="I40" s="11"/>
      <c r="J40" s="11"/>
      <c r="K40" s="16"/>
      <c r="L40" s="9"/>
    </row>
    <row r="41" spans="1:16" ht="12" customHeight="1" thickBo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6" ht="23.25" customHeight="1">
      <c r="A42" s="9"/>
      <c r="B42" s="39" t="s">
        <v>70</v>
      </c>
      <c r="C42" s="39"/>
      <c r="D42" s="39"/>
      <c r="E42" s="39"/>
      <c r="F42" s="39"/>
      <c r="G42" s="39"/>
      <c r="H42" s="39"/>
      <c r="I42" s="39"/>
      <c r="J42" s="39"/>
      <c r="K42" s="39"/>
      <c r="L42" s="9"/>
    </row>
    <row r="43" spans="1:16" ht="78.75" customHeight="1" thickBot="1">
      <c r="A43" s="9"/>
      <c r="B43" s="34" t="s">
        <v>72</v>
      </c>
      <c r="C43" s="34"/>
      <c r="D43" s="34"/>
      <c r="E43" s="34"/>
      <c r="F43" s="34"/>
      <c r="G43" s="34"/>
      <c r="H43" s="34"/>
      <c r="I43" s="34"/>
      <c r="J43" s="34"/>
      <c r="K43" s="34"/>
      <c r="L43" s="9"/>
    </row>
    <row r="44" spans="1:16" ht="7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</sheetData>
  <mergeCells count="50">
    <mergeCell ref="B14:C14"/>
    <mergeCell ref="B15:C15"/>
    <mergeCell ref="D14:F14"/>
    <mergeCell ref="D15:F15"/>
    <mergeCell ref="B17:C17"/>
    <mergeCell ref="J14:K14"/>
    <mergeCell ref="J12:K12"/>
    <mergeCell ref="D12:F12"/>
    <mergeCell ref="J3:K3"/>
    <mergeCell ref="B7:F8"/>
    <mergeCell ref="H8:K9"/>
    <mergeCell ref="B2:D3"/>
    <mergeCell ref="B5:F5"/>
    <mergeCell ref="J13:K13"/>
    <mergeCell ref="J2:K2"/>
    <mergeCell ref="D13:F13"/>
    <mergeCell ref="H6:K6"/>
    <mergeCell ref="H7:K7"/>
    <mergeCell ref="B12:C12"/>
    <mergeCell ref="B13:C13"/>
    <mergeCell ref="B9:F9"/>
    <mergeCell ref="C31:F31"/>
    <mergeCell ref="C32:F32"/>
    <mergeCell ref="C33:F33"/>
    <mergeCell ref="C34:F34"/>
    <mergeCell ref="J15:K15"/>
    <mergeCell ref="J17:K17"/>
    <mergeCell ref="B18:C18"/>
    <mergeCell ref="D17:F18"/>
    <mergeCell ref="C25:F25"/>
    <mergeCell ref="C26:F26"/>
    <mergeCell ref="C27:F27"/>
    <mergeCell ref="C28:F28"/>
    <mergeCell ref="C30:F30"/>
    <mergeCell ref="B20:F20"/>
    <mergeCell ref="C21:F21"/>
    <mergeCell ref="C22:F22"/>
    <mergeCell ref="C23:F23"/>
    <mergeCell ref="B43:K43"/>
    <mergeCell ref="B38:C38"/>
    <mergeCell ref="B39:C39"/>
    <mergeCell ref="B40:C40"/>
    <mergeCell ref="C35:F35"/>
    <mergeCell ref="B37:C37"/>
    <mergeCell ref="I36:J36"/>
    <mergeCell ref="I37:J37"/>
    <mergeCell ref="I38:J38"/>
    <mergeCell ref="B42:K42"/>
    <mergeCell ref="C29:F29"/>
    <mergeCell ref="C24:F24"/>
  </mergeCells>
  <phoneticPr fontId="1"/>
  <conditionalFormatting sqref="B21:K35">
    <cfRule type="expression" dxfId="0" priority="1">
      <formula>MOD(ROW(),2)=0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4" fitToHeight="0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6985E527-A997-49B0-ADF9-3EB5EAF54CFC}">
          <x14:formula1>
            <xm:f>マスター!$G$2:$G$7</xm:f>
          </x14:formula1>
          <xm:sqref>H21:H35</xm:sqref>
        </x14:dataValidation>
        <x14:dataValidation type="list" allowBlank="1" showInputMessage="1" showErrorMessage="1" xr:uid="{7B65598D-5FD9-4D1E-BD6F-69A426084A3D}">
          <x14:formula1>
            <xm:f>マスター!$I$2:$I$5</xm:f>
          </x14:formula1>
          <xm:sqref>J21:J35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F2F1F-FCC7-4AD6-ACF5-9C12815628CC}">
  <dimension ref="A1:I32"/>
  <sheetViews>
    <sheetView showGridLines="0" workbookViewId="0"/>
  </sheetViews>
  <sheetFormatPr defaultRowHeight="13.5"/>
  <cols>
    <col min="1" max="1" width="9.5" style="2" customWidth="1"/>
    <col min="2" max="2" width="2.125" customWidth="1"/>
    <col min="3" max="3" width="9.5" style="2" customWidth="1"/>
    <col min="4" max="4" width="2.125" customWidth="1"/>
    <col min="5" max="5" width="9.5" style="2" customWidth="1"/>
    <col min="6" max="6" width="2.75" customWidth="1"/>
    <col min="7" max="7" width="9.5" style="2" customWidth="1"/>
    <col min="8" max="8" width="2.875" customWidth="1"/>
    <col min="9" max="9" width="9.5" style="2" customWidth="1"/>
  </cols>
  <sheetData>
    <row r="1" spans="1:9" ht="14.25" thickBot="1">
      <c r="A1" s="4" t="s">
        <v>1</v>
      </c>
      <c r="C1" s="4" t="s">
        <v>2</v>
      </c>
      <c r="E1" s="4" t="s">
        <v>0</v>
      </c>
      <c r="G1" s="4" t="s">
        <v>3</v>
      </c>
      <c r="I1" s="4" t="s">
        <v>8</v>
      </c>
    </row>
    <row r="2" spans="1:9" ht="14.25" thickTop="1">
      <c r="A2" s="3">
        <v>2023</v>
      </c>
      <c r="C2" s="3">
        <v>1</v>
      </c>
      <c r="E2" s="3">
        <v>1</v>
      </c>
      <c r="G2" s="3" t="s">
        <v>4</v>
      </c>
      <c r="I2" s="5">
        <v>0.08</v>
      </c>
    </row>
    <row r="3" spans="1:9">
      <c r="A3" s="1">
        <v>2024</v>
      </c>
      <c r="C3" s="1">
        <v>2</v>
      </c>
      <c r="E3" s="1">
        <v>2</v>
      </c>
      <c r="G3" s="1" t="s">
        <v>5</v>
      </c>
      <c r="I3" s="6">
        <v>0.1</v>
      </c>
    </row>
    <row r="4" spans="1:9">
      <c r="A4" s="1">
        <v>2025</v>
      </c>
      <c r="C4" s="1">
        <v>3</v>
      </c>
      <c r="E4" s="1">
        <v>3</v>
      </c>
      <c r="G4" s="1" t="s">
        <v>6</v>
      </c>
      <c r="I4" s="6" t="s">
        <v>9</v>
      </c>
    </row>
    <row r="5" spans="1:9">
      <c r="A5" s="1">
        <v>2026</v>
      </c>
      <c r="C5" s="1">
        <v>4</v>
      </c>
      <c r="E5" s="1">
        <v>4</v>
      </c>
      <c r="G5" s="1" t="s">
        <v>0</v>
      </c>
      <c r="I5"/>
    </row>
    <row r="6" spans="1:9">
      <c r="A6" s="1">
        <v>2027</v>
      </c>
      <c r="C6" s="1">
        <v>5</v>
      </c>
      <c r="E6" s="1">
        <v>5</v>
      </c>
      <c r="G6" s="1" t="s">
        <v>7</v>
      </c>
      <c r="I6"/>
    </row>
    <row r="7" spans="1:9">
      <c r="A7" s="1">
        <v>2028</v>
      </c>
      <c r="C7" s="1">
        <v>6</v>
      </c>
      <c r="E7" s="1">
        <v>6</v>
      </c>
      <c r="G7" s="1"/>
      <c r="I7"/>
    </row>
    <row r="8" spans="1:9">
      <c r="A8" s="1">
        <v>2029</v>
      </c>
      <c r="C8" s="1">
        <v>7</v>
      </c>
      <c r="E8" s="1">
        <v>7</v>
      </c>
      <c r="G8"/>
      <c r="I8"/>
    </row>
    <row r="9" spans="1:9">
      <c r="A9" s="1">
        <v>2030</v>
      </c>
      <c r="C9" s="1">
        <v>8</v>
      </c>
      <c r="E9" s="1">
        <v>8</v>
      </c>
      <c r="G9"/>
      <c r="I9"/>
    </row>
    <row r="10" spans="1:9">
      <c r="A10" s="1">
        <v>2031</v>
      </c>
      <c r="C10" s="1">
        <v>9</v>
      </c>
      <c r="E10" s="1">
        <v>9</v>
      </c>
      <c r="G10"/>
      <c r="I10"/>
    </row>
    <row r="11" spans="1:9">
      <c r="A11" s="1">
        <v>2032</v>
      </c>
      <c r="C11" s="1">
        <v>10</v>
      </c>
      <c r="E11" s="1">
        <v>10</v>
      </c>
      <c r="G11"/>
      <c r="I11"/>
    </row>
    <row r="12" spans="1:9">
      <c r="A12" s="1">
        <v>2033</v>
      </c>
      <c r="C12" s="1">
        <v>11</v>
      </c>
      <c r="E12" s="1">
        <v>11</v>
      </c>
      <c r="G12"/>
      <c r="I12"/>
    </row>
    <row r="13" spans="1:9">
      <c r="C13" s="1">
        <v>12</v>
      </c>
      <c r="E13" s="1">
        <v>12</v>
      </c>
      <c r="G13"/>
      <c r="I13"/>
    </row>
    <row r="14" spans="1:9">
      <c r="E14" s="1">
        <v>13</v>
      </c>
      <c r="G14"/>
      <c r="I14"/>
    </row>
    <row r="15" spans="1:9">
      <c r="E15" s="1">
        <v>14</v>
      </c>
      <c r="G15"/>
      <c r="I15"/>
    </row>
    <row r="16" spans="1:9">
      <c r="E16" s="1">
        <v>15</v>
      </c>
      <c r="G16"/>
      <c r="I16"/>
    </row>
    <row r="17" spans="5:9">
      <c r="E17" s="1">
        <v>16</v>
      </c>
      <c r="G17"/>
      <c r="I17"/>
    </row>
    <row r="18" spans="5:9">
      <c r="E18" s="1">
        <v>17</v>
      </c>
      <c r="G18"/>
      <c r="I18"/>
    </row>
    <row r="19" spans="5:9">
      <c r="E19" s="1">
        <v>18</v>
      </c>
      <c r="G19"/>
      <c r="I19"/>
    </row>
    <row r="20" spans="5:9">
      <c r="E20" s="1">
        <v>19</v>
      </c>
      <c r="G20"/>
      <c r="I20"/>
    </row>
    <row r="21" spans="5:9">
      <c r="E21" s="1">
        <v>20</v>
      </c>
      <c r="G21"/>
      <c r="I21"/>
    </row>
    <row r="22" spans="5:9">
      <c r="E22" s="1">
        <v>21</v>
      </c>
      <c r="G22"/>
      <c r="I22"/>
    </row>
    <row r="23" spans="5:9">
      <c r="E23" s="1">
        <v>22</v>
      </c>
      <c r="G23"/>
      <c r="I23"/>
    </row>
    <row r="24" spans="5:9">
      <c r="E24" s="1">
        <v>23</v>
      </c>
      <c r="G24"/>
      <c r="I24"/>
    </row>
    <row r="25" spans="5:9">
      <c r="E25" s="1">
        <v>24</v>
      </c>
      <c r="G25"/>
      <c r="I25"/>
    </row>
    <row r="26" spans="5:9">
      <c r="E26" s="1">
        <v>25</v>
      </c>
      <c r="G26"/>
      <c r="I26"/>
    </row>
    <row r="27" spans="5:9">
      <c r="E27" s="1">
        <v>26</v>
      </c>
      <c r="G27"/>
      <c r="I27"/>
    </row>
    <row r="28" spans="5:9">
      <c r="E28" s="1">
        <v>27</v>
      </c>
      <c r="G28"/>
      <c r="I28"/>
    </row>
    <row r="29" spans="5:9">
      <c r="E29" s="1">
        <v>28</v>
      </c>
      <c r="G29"/>
      <c r="I29"/>
    </row>
    <row r="30" spans="5:9">
      <c r="E30" s="1">
        <v>29</v>
      </c>
      <c r="G30"/>
      <c r="I30"/>
    </row>
    <row r="31" spans="5:9">
      <c r="E31" s="1">
        <v>30</v>
      </c>
      <c r="G31"/>
      <c r="I31"/>
    </row>
    <row r="32" spans="5:9">
      <c r="E32" s="1">
        <v>31</v>
      </c>
      <c r="G32"/>
      <c r="I32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2DF14-2D2D-4181-A3BD-4B0EAF14CC34}">
  <sheetPr>
    <tabColor rgb="FFFF7C80"/>
  </sheetPr>
  <dimension ref="A1:C70"/>
  <sheetViews>
    <sheetView showGridLines="0" workbookViewId="0"/>
  </sheetViews>
  <sheetFormatPr defaultRowHeight="13.5"/>
  <cols>
    <col min="1" max="1" width="3.125" style="58" customWidth="1"/>
    <col min="2" max="2" width="3.125" style="59" customWidth="1"/>
    <col min="3" max="3" width="3.125" style="60" customWidth="1"/>
    <col min="4" max="16384" width="9" style="59"/>
  </cols>
  <sheetData>
    <row r="1" spans="1:3" s="56" customFormat="1" ht="15.75" customHeight="1">
      <c r="A1" s="56" t="s">
        <v>73</v>
      </c>
      <c r="C1" s="57"/>
    </row>
    <row r="2" spans="1:3" ht="15.75" customHeight="1">
      <c r="B2" s="59" t="s">
        <v>74</v>
      </c>
    </row>
    <row r="3" spans="1:3" ht="15.75" customHeight="1">
      <c r="B3" s="59" t="s">
        <v>75</v>
      </c>
    </row>
    <row r="4" spans="1:3" ht="15.75" customHeight="1">
      <c r="B4" s="59" t="s">
        <v>76</v>
      </c>
    </row>
    <row r="5" spans="1:3" ht="11.25" customHeight="1"/>
    <row r="6" spans="1:3" ht="15.75" customHeight="1">
      <c r="A6" s="58" t="s">
        <v>77</v>
      </c>
    </row>
    <row r="7" spans="1:3" ht="15.75" customHeight="1">
      <c r="B7" s="59" t="s">
        <v>78</v>
      </c>
    </row>
    <row r="8" spans="1:3" ht="15.75" customHeight="1">
      <c r="C8" s="61" t="s">
        <v>79</v>
      </c>
    </row>
    <row r="9" spans="1:3" ht="15.75" customHeight="1">
      <c r="B9" s="59" t="s">
        <v>80</v>
      </c>
    </row>
    <row r="10" spans="1:3" ht="15.75" customHeight="1">
      <c r="C10" s="61" t="s">
        <v>81</v>
      </c>
    </row>
    <row r="11" spans="1:3" ht="15.75" customHeight="1">
      <c r="B11" s="59" t="s">
        <v>82</v>
      </c>
    </row>
    <row r="12" spans="1:3" ht="15.75" customHeight="1">
      <c r="C12" s="61" t="s">
        <v>83</v>
      </c>
    </row>
    <row r="13" spans="1:3" ht="15.75" customHeight="1">
      <c r="B13" s="59" t="s">
        <v>84</v>
      </c>
    </row>
    <row r="14" spans="1:3" ht="15.75" customHeight="1">
      <c r="C14" s="61" t="s">
        <v>85</v>
      </c>
    </row>
    <row r="15" spans="1:3" ht="11.25" customHeight="1"/>
    <row r="16" spans="1:3" ht="15.75" customHeight="1">
      <c r="A16" s="58" t="s">
        <v>86</v>
      </c>
    </row>
    <row r="17" spans="1:3" ht="15.75" customHeight="1">
      <c r="B17" s="59" t="s">
        <v>87</v>
      </c>
    </row>
    <row r="18" spans="1:3" ht="15.75" customHeight="1">
      <c r="C18" s="61" t="s">
        <v>88</v>
      </c>
    </row>
    <row r="19" spans="1:3" ht="15.75" customHeight="1">
      <c r="B19" s="59" t="s">
        <v>89</v>
      </c>
    </row>
    <row r="20" spans="1:3" ht="15.75" customHeight="1">
      <c r="C20" s="61" t="s">
        <v>90</v>
      </c>
    </row>
    <row r="21" spans="1:3" ht="11.25" customHeight="1"/>
    <row r="22" spans="1:3" ht="15.75" customHeight="1">
      <c r="A22" s="58" t="s">
        <v>91</v>
      </c>
    </row>
    <row r="23" spans="1:3" ht="15.75" customHeight="1">
      <c r="B23" s="59" t="s">
        <v>92</v>
      </c>
    </row>
    <row r="24" spans="1:3" ht="15.75" customHeight="1">
      <c r="C24" s="61" t="s">
        <v>93</v>
      </c>
    </row>
    <row r="25" spans="1:3" ht="15.75" customHeight="1">
      <c r="B25" s="59" t="s">
        <v>94</v>
      </c>
    </row>
    <row r="26" spans="1:3" ht="15.75" customHeight="1">
      <c r="C26" s="61" t="s">
        <v>95</v>
      </c>
    </row>
    <row r="27" spans="1:3" ht="15.75" customHeight="1">
      <c r="B27" s="59" t="s">
        <v>96</v>
      </c>
    </row>
    <row r="28" spans="1:3" ht="15.75" customHeight="1">
      <c r="C28" s="61" t="s">
        <v>97</v>
      </c>
    </row>
    <row r="29" spans="1:3" ht="11.25" customHeight="1"/>
    <row r="30" spans="1:3" ht="15.75" customHeight="1">
      <c r="A30" s="58" t="s">
        <v>98</v>
      </c>
    </row>
    <row r="31" spans="1:3" ht="15.75" customHeight="1">
      <c r="B31" s="59" t="s">
        <v>99</v>
      </c>
    </row>
    <row r="32" spans="1:3" ht="15.75" customHeight="1">
      <c r="C32" s="61" t="s">
        <v>100</v>
      </c>
    </row>
    <row r="33" spans="1:3" ht="15.75" customHeight="1">
      <c r="B33" s="59" t="s">
        <v>101</v>
      </c>
    </row>
    <row r="34" spans="1:3" ht="15.75" customHeight="1">
      <c r="C34" s="61" t="s">
        <v>102</v>
      </c>
    </row>
    <row r="35" spans="1:3" ht="11.25" customHeight="1"/>
    <row r="36" spans="1:3" ht="15.75" customHeight="1">
      <c r="A36" s="58" t="s">
        <v>103</v>
      </c>
    </row>
    <row r="37" spans="1:3" ht="15.75" customHeight="1">
      <c r="B37" s="59" t="s">
        <v>104</v>
      </c>
    </row>
    <row r="38" spans="1:3" ht="15.75" customHeight="1">
      <c r="C38" s="61" t="s">
        <v>105</v>
      </c>
    </row>
    <row r="39" spans="1:3" ht="15.75" customHeight="1">
      <c r="B39" s="59" t="s">
        <v>106</v>
      </c>
    </row>
    <row r="40" spans="1:3" ht="15.75" customHeight="1">
      <c r="C40" s="61" t="s">
        <v>107</v>
      </c>
    </row>
    <row r="41" spans="1:3" ht="15.75" customHeight="1">
      <c r="B41" s="59" t="s">
        <v>108</v>
      </c>
    </row>
    <row r="42" spans="1:3" ht="15.75" customHeight="1">
      <c r="C42" s="61" t="s">
        <v>109</v>
      </c>
    </row>
    <row r="43" spans="1:3" ht="11.25" customHeight="1"/>
    <row r="44" spans="1:3" ht="15.75" customHeight="1">
      <c r="A44" s="58" t="s">
        <v>110</v>
      </c>
    </row>
    <row r="45" spans="1:3" ht="15.75" customHeight="1">
      <c r="B45" s="59" t="s">
        <v>111</v>
      </c>
    </row>
    <row r="46" spans="1:3" ht="15.75" customHeight="1">
      <c r="C46" s="61" t="s">
        <v>112</v>
      </c>
    </row>
    <row r="47" spans="1:3" ht="15.75" customHeight="1">
      <c r="B47" s="59" t="s">
        <v>113</v>
      </c>
    </row>
    <row r="48" spans="1:3" ht="15.75" customHeight="1">
      <c r="C48" s="61" t="s">
        <v>114</v>
      </c>
    </row>
    <row r="49" spans="1:3" ht="11.25" customHeight="1"/>
    <row r="50" spans="1:3" ht="15.75" customHeight="1">
      <c r="A50" s="58" t="s">
        <v>115</v>
      </c>
    </row>
    <row r="51" spans="1:3" ht="15.75" customHeight="1">
      <c r="B51" s="59" t="s">
        <v>116</v>
      </c>
    </row>
    <row r="52" spans="1:3" ht="15.75" customHeight="1">
      <c r="C52" s="61" t="s">
        <v>117</v>
      </c>
    </row>
    <row r="53" spans="1:3" ht="15.75" customHeight="1">
      <c r="B53" s="59" t="s">
        <v>118</v>
      </c>
    </row>
    <row r="54" spans="1:3" ht="15.75" customHeight="1">
      <c r="C54" s="61" t="s">
        <v>119</v>
      </c>
    </row>
    <row r="55" spans="1:3" ht="15.75" customHeight="1">
      <c r="B55" s="59" t="s">
        <v>120</v>
      </c>
    </row>
    <row r="56" spans="1:3" ht="15.75" customHeight="1">
      <c r="C56" s="61" t="s">
        <v>121</v>
      </c>
    </row>
    <row r="57" spans="1:3" ht="11.25" customHeight="1"/>
    <row r="58" spans="1:3" ht="15.75" customHeight="1">
      <c r="A58" s="58" t="s">
        <v>122</v>
      </c>
    </row>
    <row r="59" spans="1:3" ht="15.75" customHeight="1">
      <c r="B59" s="59" t="s">
        <v>123</v>
      </c>
    </row>
    <row r="60" spans="1:3" ht="15.75" customHeight="1">
      <c r="C60" s="61" t="s">
        <v>124</v>
      </c>
    </row>
    <row r="61" spans="1:3" ht="15.75" customHeight="1">
      <c r="B61" s="59" t="s">
        <v>125</v>
      </c>
    </row>
    <row r="62" spans="1:3" ht="15.75" customHeight="1">
      <c r="C62" s="61" t="s">
        <v>126</v>
      </c>
    </row>
    <row r="63" spans="1:3" ht="15.75" customHeight="1"/>
    <row r="64" spans="1: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</sheetData>
  <phoneticPr fontId="1"/>
  <hyperlinks>
    <hyperlink ref="C8" r:id="rId1" xr:uid="{9F487FFD-C30A-450A-BB8F-2EFA9D705FB7}"/>
    <hyperlink ref="C10" r:id="rId2" xr:uid="{B6C7A3CE-F52A-4307-A0F6-D04798503802}"/>
    <hyperlink ref="C12" r:id="rId3" xr:uid="{62B500A7-E194-4B03-ACE5-132FACCF66B9}"/>
    <hyperlink ref="C14" r:id="rId4" xr:uid="{7725DEB0-9D20-451F-AE52-71DAAA91F942}"/>
    <hyperlink ref="C24" r:id="rId5" xr:uid="{630AA17E-96E6-44C7-A6B6-CC9AB03FA2F9}"/>
    <hyperlink ref="C26" r:id="rId6" xr:uid="{FA5BD000-EC54-42CF-883E-BB9CBE1FCECD}"/>
    <hyperlink ref="C28" r:id="rId7" xr:uid="{D47BB14D-8F93-4C93-9419-0AC99BE3BEB3}"/>
    <hyperlink ref="C32" r:id="rId8" xr:uid="{D09576F5-964C-4E12-857B-1BAB77AF4B3A}"/>
    <hyperlink ref="C34" r:id="rId9" xr:uid="{4DE0B32A-3EFD-4D38-9E88-35EB6BFF151C}"/>
    <hyperlink ref="C38" r:id="rId10" xr:uid="{E20185C4-B0B2-4978-9998-76B43E209343}"/>
    <hyperlink ref="C40" r:id="rId11" xr:uid="{80DD48C5-14AD-42ED-B8BB-4FB127CA0A24}"/>
    <hyperlink ref="C42" r:id="rId12" xr:uid="{D69FB2A7-EEF7-4408-AE6B-CAF257E25DE1}"/>
    <hyperlink ref="C46" r:id="rId13" xr:uid="{15D0FF07-7DD5-4A38-BCF3-8384680DF79C}"/>
    <hyperlink ref="C18" r:id="rId14" xr:uid="{C9BB3FE3-A3C5-4F05-8511-8E4A6889247F}"/>
    <hyperlink ref="C20" r:id="rId15" xr:uid="{B220612F-3C8F-4FC4-9F5B-3A24027DFE9F}"/>
    <hyperlink ref="C48" r:id="rId16" xr:uid="{54380E4A-A6ED-4292-A6A9-353D90BF11F1}"/>
    <hyperlink ref="C52" r:id="rId17" xr:uid="{E306B709-73F4-4725-9338-1C836D244C1D}"/>
    <hyperlink ref="C54" r:id="rId18" xr:uid="{88AD0D69-51FB-415C-8739-8BAE9A465913}"/>
    <hyperlink ref="C56" r:id="rId19" xr:uid="{FC9CA813-4313-48B0-B6AF-8FF555DB4A6C}"/>
    <hyperlink ref="C60" r:id="rId20" xr:uid="{0D72FC4E-0B99-43A0-BC5E-B6B7F0317311}"/>
    <hyperlink ref="C62" r:id="rId21" xr:uid="{129E3A2E-5719-4B76-80EC-F0D3F76E3E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見積書（インボイス対応）</vt:lpstr>
      <vt:lpstr>マスター</vt:lpstr>
      <vt:lpstr>【おすすめ】人気Excelテンプレート</vt:lpstr>
      <vt:lpstr>'見積書（インボイス対応）'!Print_Area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誠雄 今村</cp:lastModifiedBy>
  <cp:lastPrinted>2024-07-26T15:35:15Z</cp:lastPrinted>
  <dcterms:created xsi:type="dcterms:W3CDTF">2007-05-16T11:52:28Z</dcterms:created>
  <dcterms:modified xsi:type="dcterms:W3CDTF">2025-01-01T14:14:59Z</dcterms:modified>
</cp:coreProperties>
</file>